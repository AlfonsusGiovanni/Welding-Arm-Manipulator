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Udin\Kuliah\7. TUGAS AKHIR\Arm Manipulator\Breakdown\Excel\"/>
    </mc:Choice>
  </mc:AlternateContent>
  <xr:revisionPtr revIDLastSave="0" documentId="13_ncr:1_{09461132-31A2-4B67-BF21-449D37951A74}" xr6:coauthVersionLast="47" xr6:coauthVersionMax="47" xr10:uidLastSave="{00000000-0000-0000-0000-000000000000}"/>
  <bookViews>
    <workbookView xWindow="-108" yWindow="-108" windowWidth="23256" windowHeight="12456" xr2:uid="{313879A8-645A-4312-965B-79C9BD650931}"/>
  </bookViews>
  <sheets>
    <sheet name="Stepper Information" sheetId="1" r:id="rId1"/>
    <sheet name="DH Param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1" l="1"/>
  <c r="Q4" i="1"/>
  <c r="S4" i="1" s="1"/>
  <c r="Q5" i="1"/>
  <c r="S5" i="1" s="1"/>
  <c r="Q6" i="1"/>
  <c r="S6" i="1" s="1"/>
  <c r="Q7" i="1"/>
  <c r="S7" i="1" s="1"/>
  <c r="Q8" i="1"/>
  <c r="S8" i="1" s="1"/>
  <c r="Q3" i="1"/>
  <c r="R3" i="1"/>
  <c r="L4" i="1"/>
  <c r="L5" i="1"/>
  <c r="L6" i="1"/>
  <c r="L7" i="1"/>
  <c r="L8" i="1"/>
  <c r="L3" i="1"/>
  <c r="M3" i="1"/>
  <c r="R4" i="1"/>
  <c r="T4" i="1" s="1"/>
  <c r="U4" i="1" s="1"/>
  <c r="V4" i="1" s="1"/>
  <c r="R5" i="1"/>
  <c r="T5" i="1" s="1"/>
  <c r="U5" i="1" s="1"/>
  <c r="V5" i="1" s="1"/>
  <c r="R6" i="1"/>
  <c r="T6" i="1" s="1"/>
  <c r="U6" i="1" s="1"/>
  <c r="V6" i="1" s="1"/>
  <c r="R7" i="1"/>
  <c r="T7" i="1" s="1"/>
  <c r="U7" i="1" s="1"/>
  <c r="V7" i="1" s="1"/>
  <c r="R8" i="1"/>
  <c r="T8" i="1" s="1"/>
  <c r="U8" i="1" s="1"/>
  <c r="V8" i="1" s="1"/>
  <c r="M5" i="1"/>
  <c r="M6" i="1"/>
  <c r="M7" i="1"/>
  <c r="M8" i="1"/>
  <c r="M4" i="1"/>
  <c r="H6" i="1"/>
  <c r="H4" i="1"/>
  <c r="H5" i="1"/>
  <c r="H7" i="1"/>
  <c r="H8" i="1"/>
  <c r="H3" i="1"/>
  <c r="T3" i="1" l="1"/>
  <c r="U3" i="1" s="1"/>
  <c r="V3" i="1" s="1"/>
</calcChain>
</file>

<file path=xl/sharedStrings.xml><?xml version="1.0" encoding="utf-8"?>
<sst xmlns="http://schemas.openxmlformats.org/spreadsheetml/2006/main" count="48" uniqueCount="29">
  <si>
    <t>DH</t>
  </si>
  <si>
    <t>No</t>
  </si>
  <si>
    <t>Joint</t>
  </si>
  <si>
    <t>Stepper Type</t>
  </si>
  <si>
    <t>J1</t>
  </si>
  <si>
    <t>Ratio</t>
  </si>
  <si>
    <t>J2</t>
  </si>
  <si>
    <t>J3</t>
  </si>
  <si>
    <t>J4</t>
  </si>
  <si>
    <t>J5</t>
  </si>
  <si>
    <t>J6</t>
  </si>
  <si>
    <t>23HS10028S</t>
  </si>
  <si>
    <t>23HS7628</t>
  </si>
  <si>
    <t>23HS5628</t>
  </si>
  <si>
    <t>Total Step
Per Rev</t>
  </si>
  <si>
    <t>Driver
Step</t>
  </si>
  <si>
    <r>
      <t xml:space="preserve">Max
Pulse </t>
    </r>
    <r>
      <rPr>
        <b/>
        <i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 xml:space="preserve">
(kHz)</t>
    </r>
  </si>
  <si>
    <t>STEPPER CONFIGURATION</t>
  </si>
  <si>
    <t>STEPPER CONTROL</t>
  </si>
  <si>
    <t xml:space="preserve">STEPPER REDUCED RPM </t>
  </si>
  <si>
    <r>
      <t xml:space="preserve">Min
Pulse </t>
    </r>
    <r>
      <rPr>
        <b/>
        <i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 xml:space="preserve">
(kHz)</t>
    </r>
  </si>
  <si>
    <t>Max Joint
Rev/min</t>
  </si>
  <si>
    <t>Min Joint
Rev/min</t>
  </si>
  <si>
    <t>Max Joint
Rev/sec</t>
  </si>
  <si>
    <t>Min Joint
Rev/sec</t>
  </si>
  <si>
    <t>Max 1 Rev
Time</t>
  </si>
  <si>
    <t>Max 1/6 Rev
Time</t>
  </si>
  <si>
    <t>Rev/min
Max</t>
  </si>
  <si>
    <t>Rev/min
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</si>
</sst>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91DB4-B0A8-4E84-8EB3-D1841E9839DB}">
  <dimension ref="A1:V8"/>
  <sheetViews>
    <sheetView tabSelected="1" topLeftCell="B1" workbookViewId="0">
      <selection activeCell="Q16" sqref="Q16"/>
    </sheetView>
  </sheetViews>
  <sheetFormatPr defaultRowHeight="14.4" x14ac:dyDescent="0.3"/>
  <cols>
    <col min="1" max="1" width="4.77734375" customWidth="1"/>
    <col min="2" max="2" width="8.88671875" style="2" customWidth="1"/>
    <col min="3" max="3" width="17" style="2" customWidth="1"/>
    <col min="4" max="7" width="8.88671875" style="2" customWidth="1"/>
    <col min="8" max="8" width="8.88671875" style="2"/>
    <col min="9" max="9" width="2.77734375" style="7" customWidth="1"/>
    <col min="10" max="10" width="4.77734375" style="2" customWidth="1"/>
    <col min="11" max="13" width="8.88671875" style="2"/>
    <col min="14" max="14" width="2.77734375" style="7" customWidth="1"/>
    <col min="15" max="15" width="4.77734375" style="2" customWidth="1"/>
    <col min="18" max="20" width="8.88671875" customWidth="1"/>
  </cols>
  <sheetData>
    <row r="1" spans="1:22" ht="19.95" customHeight="1" x14ac:dyDescent="0.3">
      <c r="A1" s="6" t="s">
        <v>17</v>
      </c>
      <c r="B1" s="6"/>
      <c r="C1" s="6"/>
      <c r="D1" s="6"/>
      <c r="E1" s="6"/>
      <c r="F1" s="6"/>
      <c r="G1" s="6"/>
      <c r="H1" s="6"/>
      <c r="J1" s="6" t="s">
        <v>18</v>
      </c>
      <c r="K1" s="6"/>
      <c r="L1" s="6"/>
      <c r="M1" s="6"/>
      <c r="O1" s="8" t="s">
        <v>19</v>
      </c>
      <c r="P1" s="9"/>
      <c r="Q1" s="9"/>
      <c r="R1" s="9"/>
      <c r="S1" s="9"/>
      <c r="T1" s="9"/>
      <c r="U1" s="9"/>
      <c r="V1" s="10"/>
    </row>
    <row r="2" spans="1:22" s="1" customFormat="1" ht="43.2" x14ac:dyDescent="0.3">
      <c r="A2" s="4" t="s">
        <v>1</v>
      </c>
      <c r="B2" s="4" t="s">
        <v>2</v>
      </c>
      <c r="C2" s="4" t="s">
        <v>3</v>
      </c>
      <c r="D2" s="5" t="s">
        <v>15</v>
      </c>
      <c r="E2" s="5" t="s">
        <v>28</v>
      </c>
      <c r="F2" s="5" t="s">
        <v>27</v>
      </c>
      <c r="G2" s="4" t="s">
        <v>5</v>
      </c>
      <c r="H2" s="5" t="s">
        <v>14</v>
      </c>
      <c r="I2" s="7"/>
      <c r="J2" s="4" t="s">
        <v>1</v>
      </c>
      <c r="K2" s="5" t="s">
        <v>2</v>
      </c>
      <c r="L2" s="5" t="s">
        <v>20</v>
      </c>
      <c r="M2" s="5" t="s">
        <v>16</v>
      </c>
      <c r="N2" s="7"/>
      <c r="O2" s="4" t="s">
        <v>1</v>
      </c>
      <c r="P2" s="5" t="s">
        <v>2</v>
      </c>
      <c r="Q2" s="5" t="s">
        <v>22</v>
      </c>
      <c r="R2" s="5" t="s">
        <v>21</v>
      </c>
      <c r="S2" s="5" t="s">
        <v>24</v>
      </c>
      <c r="T2" s="5" t="s">
        <v>23</v>
      </c>
      <c r="U2" s="5" t="s">
        <v>25</v>
      </c>
      <c r="V2" s="5" t="s">
        <v>26</v>
      </c>
    </row>
    <row r="3" spans="1:22" x14ac:dyDescent="0.3">
      <c r="A3" s="3">
        <v>1</v>
      </c>
      <c r="B3" s="3" t="s">
        <v>4</v>
      </c>
      <c r="C3" s="3" t="s">
        <v>12</v>
      </c>
      <c r="D3" s="3">
        <v>800</v>
      </c>
      <c r="E3" s="3">
        <v>180</v>
      </c>
      <c r="F3" s="3">
        <v>360</v>
      </c>
      <c r="G3" s="3">
        <v>90</v>
      </c>
      <c r="H3" s="3">
        <f>G3*D3</f>
        <v>72000</v>
      </c>
      <c r="J3" s="3">
        <v>1</v>
      </c>
      <c r="K3" s="3" t="s">
        <v>4</v>
      </c>
      <c r="L3" s="3">
        <f>E3*D3/60</f>
        <v>2400</v>
      </c>
      <c r="M3" s="3">
        <f>F3*D3/60</f>
        <v>4800</v>
      </c>
      <c r="O3" s="3">
        <v>1</v>
      </c>
      <c r="P3" s="3" t="s">
        <v>4</v>
      </c>
      <c r="Q3" s="3">
        <f>E3/G3</f>
        <v>2</v>
      </c>
      <c r="R3" s="3">
        <f>F3/G3</f>
        <v>4</v>
      </c>
      <c r="S3" s="3">
        <f>Q3/60</f>
        <v>3.3333333333333333E-2</v>
      </c>
      <c r="T3" s="3">
        <f>R3/60</f>
        <v>6.6666666666666666E-2</v>
      </c>
      <c r="U3" s="3">
        <f>1/T3</f>
        <v>15</v>
      </c>
      <c r="V3" s="3">
        <f>U3/6</f>
        <v>2.5</v>
      </c>
    </row>
    <row r="4" spans="1:22" x14ac:dyDescent="0.3">
      <c r="A4" s="3">
        <v>2</v>
      </c>
      <c r="B4" s="3" t="s">
        <v>6</v>
      </c>
      <c r="C4" s="3" t="s">
        <v>11</v>
      </c>
      <c r="D4" s="3">
        <v>800</v>
      </c>
      <c r="E4" s="3">
        <v>180</v>
      </c>
      <c r="F4" s="3">
        <v>315</v>
      </c>
      <c r="G4" s="3">
        <v>36</v>
      </c>
      <c r="H4" s="3">
        <f>G4*D4</f>
        <v>28800</v>
      </c>
      <c r="J4" s="3">
        <v>2</v>
      </c>
      <c r="K4" s="3" t="s">
        <v>6</v>
      </c>
      <c r="L4" s="3">
        <f t="shared" ref="L4:L8" si="0">E4*D4/60</f>
        <v>2400</v>
      </c>
      <c r="M4" s="3">
        <f>F4*D4/60</f>
        <v>4200</v>
      </c>
      <c r="O4" s="3">
        <v>2</v>
      </c>
      <c r="P4" s="3" t="s">
        <v>6</v>
      </c>
      <c r="Q4" s="3">
        <f t="shared" ref="Q4:Q8" si="1">E4/G4</f>
        <v>5</v>
      </c>
      <c r="R4" s="3">
        <f>F4/G4</f>
        <v>8.75</v>
      </c>
      <c r="S4" s="3">
        <f t="shared" ref="S4:S8" si="2">Q4/60</f>
        <v>8.3333333333333329E-2</v>
      </c>
      <c r="T4" s="3">
        <f t="shared" ref="T4:T8" si="3">R4/60</f>
        <v>0.14583333333333334</v>
      </c>
      <c r="U4" s="3">
        <f t="shared" ref="U4:U8" si="4">1/T4</f>
        <v>6.8571428571428568</v>
      </c>
      <c r="V4" s="3">
        <f t="shared" ref="V4:V8" si="5">U4/6</f>
        <v>1.1428571428571428</v>
      </c>
    </row>
    <row r="5" spans="1:22" x14ac:dyDescent="0.3">
      <c r="A5" s="3">
        <v>3</v>
      </c>
      <c r="B5" s="3" t="s">
        <v>7</v>
      </c>
      <c r="C5" s="3" t="s">
        <v>12</v>
      </c>
      <c r="D5" s="3">
        <v>800</v>
      </c>
      <c r="E5" s="3">
        <v>180</v>
      </c>
      <c r="F5" s="3">
        <v>360</v>
      </c>
      <c r="G5" s="3">
        <v>36</v>
      </c>
      <c r="H5" s="3">
        <f>G5*D5</f>
        <v>28800</v>
      </c>
      <c r="J5" s="3">
        <v>3</v>
      </c>
      <c r="K5" s="3" t="s">
        <v>7</v>
      </c>
      <c r="L5" s="3">
        <f t="shared" si="0"/>
        <v>2400</v>
      </c>
      <c r="M5" s="3">
        <f>F5*D5/60</f>
        <v>4800</v>
      </c>
      <c r="O5" s="3">
        <v>3</v>
      </c>
      <c r="P5" s="3" t="s">
        <v>7</v>
      </c>
      <c r="Q5" s="3">
        <f t="shared" si="1"/>
        <v>5</v>
      </c>
      <c r="R5" s="3">
        <f>F5/G5</f>
        <v>10</v>
      </c>
      <c r="S5" s="3">
        <f t="shared" si="2"/>
        <v>8.3333333333333329E-2</v>
      </c>
      <c r="T5" s="3">
        <f t="shared" si="3"/>
        <v>0.16666666666666666</v>
      </c>
      <c r="U5" s="3">
        <f t="shared" si="4"/>
        <v>6</v>
      </c>
      <c r="V5" s="3">
        <f t="shared" si="5"/>
        <v>1</v>
      </c>
    </row>
    <row r="6" spans="1:22" x14ac:dyDescent="0.3">
      <c r="A6" s="3">
        <v>4</v>
      </c>
      <c r="B6" s="3" t="s">
        <v>8</v>
      </c>
      <c r="C6" s="3" t="s">
        <v>13</v>
      </c>
      <c r="D6" s="3">
        <v>800</v>
      </c>
      <c r="E6" s="3">
        <v>180</v>
      </c>
      <c r="F6" s="3">
        <v>360</v>
      </c>
      <c r="G6" s="3">
        <v>9</v>
      </c>
      <c r="H6" s="3">
        <f>G6*D6</f>
        <v>7200</v>
      </c>
      <c r="J6" s="3">
        <v>4</v>
      </c>
      <c r="K6" s="3" t="s">
        <v>8</v>
      </c>
      <c r="L6" s="3">
        <f t="shared" si="0"/>
        <v>2400</v>
      </c>
      <c r="M6" s="3">
        <f>F6*D6/60</f>
        <v>4800</v>
      </c>
      <c r="O6" s="3">
        <v>4</v>
      </c>
      <c r="P6" s="3" t="s">
        <v>8</v>
      </c>
      <c r="Q6" s="3">
        <f t="shared" si="1"/>
        <v>20</v>
      </c>
      <c r="R6" s="3">
        <f>F6/G6</f>
        <v>40</v>
      </c>
      <c r="S6" s="3">
        <f t="shared" si="2"/>
        <v>0.33333333333333331</v>
      </c>
      <c r="T6" s="3">
        <f t="shared" si="3"/>
        <v>0.66666666666666663</v>
      </c>
      <c r="U6" s="3">
        <f t="shared" si="4"/>
        <v>1.5</v>
      </c>
      <c r="V6" s="3">
        <f t="shared" si="5"/>
        <v>0.25</v>
      </c>
    </row>
    <row r="7" spans="1:22" x14ac:dyDescent="0.3">
      <c r="A7" s="3">
        <v>5</v>
      </c>
      <c r="B7" s="3" t="s">
        <v>9</v>
      </c>
      <c r="C7" s="3" t="s">
        <v>12</v>
      </c>
      <c r="D7" s="3">
        <v>800</v>
      </c>
      <c r="E7" s="3">
        <v>180</v>
      </c>
      <c r="F7" s="3">
        <v>360</v>
      </c>
      <c r="G7" s="3">
        <v>90</v>
      </c>
      <c r="H7" s="3">
        <f t="shared" ref="H7" si="6">G7*D7</f>
        <v>72000</v>
      </c>
      <c r="J7" s="3">
        <v>5</v>
      </c>
      <c r="K7" s="3" t="s">
        <v>9</v>
      </c>
      <c r="L7" s="3">
        <f t="shared" si="0"/>
        <v>2400</v>
      </c>
      <c r="M7" s="3">
        <f>F7*D7/60</f>
        <v>4800</v>
      </c>
      <c r="O7" s="3">
        <v>5</v>
      </c>
      <c r="P7" s="3" t="s">
        <v>9</v>
      </c>
      <c r="Q7" s="3">
        <f t="shared" si="1"/>
        <v>2</v>
      </c>
      <c r="R7" s="3">
        <f>F7/G7</f>
        <v>4</v>
      </c>
      <c r="S7" s="3">
        <f t="shared" si="2"/>
        <v>3.3333333333333333E-2</v>
      </c>
      <c r="T7" s="3">
        <f t="shared" si="3"/>
        <v>6.6666666666666666E-2</v>
      </c>
      <c r="U7" s="3">
        <f t="shared" si="4"/>
        <v>15</v>
      </c>
      <c r="V7" s="3">
        <f t="shared" si="5"/>
        <v>2.5</v>
      </c>
    </row>
    <row r="8" spans="1:22" x14ac:dyDescent="0.3">
      <c r="A8" s="3">
        <v>6</v>
      </c>
      <c r="B8" s="3" t="s">
        <v>10</v>
      </c>
      <c r="C8" s="3" t="s">
        <v>13</v>
      </c>
      <c r="D8" s="3">
        <v>800</v>
      </c>
      <c r="E8" s="3">
        <v>180</v>
      </c>
      <c r="F8" s="3">
        <v>360</v>
      </c>
      <c r="G8" s="3">
        <v>9</v>
      </c>
      <c r="H8" s="3">
        <f t="shared" ref="H8" si="7">G8*D7</f>
        <v>7200</v>
      </c>
      <c r="J8" s="3">
        <v>6</v>
      </c>
      <c r="K8" s="3" t="s">
        <v>10</v>
      </c>
      <c r="L8" s="3">
        <f t="shared" si="0"/>
        <v>2400</v>
      </c>
      <c r="M8" s="3">
        <f>F8*D8/60</f>
        <v>4800</v>
      </c>
      <c r="O8" s="3">
        <v>6</v>
      </c>
      <c r="P8" s="3" t="s">
        <v>10</v>
      </c>
      <c r="Q8" s="3">
        <f t="shared" si="1"/>
        <v>20</v>
      </c>
      <c r="R8" s="3">
        <f>F8/G8</f>
        <v>40</v>
      </c>
      <c r="S8" s="3">
        <f t="shared" si="2"/>
        <v>0.33333333333333331</v>
      </c>
      <c r="T8" s="3">
        <f t="shared" si="3"/>
        <v>0.66666666666666663</v>
      </c>
      <c r="U8" s="3">
        <f t="shared" si="4"/>
        <v>1.5</v>
      </c>
      <c r="V8" s="3">
        <f t="shared" si="5"/>
        <v>0.25</v>
      </c>
    </row>
  </sheetData>
  <mergeCells count="5">
    <mergeCell ref="A1:H1"/>
    <mergeCell ref="I1:I1048576"/>
    <mergeCell ref="J1:M1"/>
    <mergeCell ref="N1:N1048576"/>
    <mergeCell ref="O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90D27-4B97-4251-AD4B-2BBC3FAFA5B8}">
  <dimension ref="A1"/>
  <sheetViews>
    <sheetView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Stepper Information</vt:lpstr>
      <vt:lpstr>DH Param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Alfonsus Giovanni</dc:creator>
  <cp:lastModifiedBy>Alfonsus Giovanni</cp:lastModifiedBy>
  <dcterms:created xsi:type="dcterms:W3CDTF">2025-02-13T12:48:49Z</dcterms:created>
  <dcterms:modified xsi:type="dcterms:W3CDTF">2025-02-14T16:26:53Z</dcterms:modified>
</cp:coreProperties>
</file>